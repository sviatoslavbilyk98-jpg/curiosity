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6000"/>
  </bookViews>
  <sheets>
    <sheet name="Проект ЗВК Новосілки" sheetId="1" r:id="rId1"/>
    <sheet name="Новосілки ЗВК 1ч" sheetId="2" r:id="rId2"/>
    <sheet name="Накладні" sheetId="3" r:id="rId3"/>
    <sheet name="Результат" sheetId="4" r:id="rId4"/>
  </sheet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 ##0.00 [$₴-uk-UA]"/>
    <numFmt numFmtId="165" formatCode="0.00%"/>
    <numFmt numFmtId="166" formatCode="yyyy-mm-dd"/>
  </numFmts>
  <fonts count="6">
    <font>
      <sz val="11"/>
      <name val="Calibri"/>
      <family val="2"/>
    </font>
    <font>
      <b/>
      <sz val="14"/>
      <name val="Calibri"/>
      <family val="2"/>
      <color rgb="FFFFFFFF"/>
    </font>
    <font>
      <b/>
      <sz val="11"/>
      <name val="Calibri"/>
      <family val="2"/>
      <color rgb="FFFFFFFF"/>
    </font>
    <font>
      <b/>
      <sz val="11"/>
      <name val="Calibri"/>
      <family val="2"/>
      <color rgb="FF111827"/>
    </font>
    <font>
      <b/>
      <sz val="11"/>
      <name val="Calibri"/>
      <family val="2"/>
      <color rgb="FF991B1B"/>
    </font>
    <font>
      <i/>
      <sz val="10"/>
      <name val="Calibri"/>
      <family val="2"/>
      <color rgb="FF475569"/>
    </font>
  </fonts>
  <fills count="10">
    <fill>
      <patternFill patternType="none"/>
    </fill>
    <fill>
      <patternFill patternType="gray125"/>
    </fill>
    <fill>
      <patternFill patternType="solid">
        <fgColor rgb="FFDB2777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BBF24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DE68A"/>
        <bgColor indexed="64"/>
      </patternFill>
    </fill>
    <fill>
      <patternFill patternType="solid">
        <fgColor rgb="FFF1F5F9"/>
        <bgColor indexed="64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medium">
        <color rgb="FF111827"/>
      </left>
      <right style="medium">
        <color rgb="FF111827"/>
      </right>
      <top style="medium">
        <color rgb="FF111827"/>
      </top>
      <bottom style="medium">
        <color rgb="FF11182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Fill="1" applyFont="1" applyBorder="1" applyAlignment="1">
      <alignment horizontal="center" vertical="center"/>
    </xf>
    <xf numFmtId="0" fontId="2" fillId="3" borderId="1" xfId="0" applyFill="1" applyFont="1" applyBorder="1" applyAlignment="1">
      <alignment horizontal="center" vertical="center" wrapText="1"/>
    </xf>
    <xf numFmtId="0" fontId="3" fillId="4" borderId="1" xfId="0" applyFill="1" applyFont="1" applyBorder="1" applyAlignment="1">
      <alignment horizontal="center" vertical="center" wrapText="1"/>
    </xf>
    <xf numFmtId="0" fontId="3" fillId="5" borderId="1" xfId="0" applyFill="1" applyFont="1" applyBorder="1" applyAlignment="1">
      <alignment horizontal="center" vertical="center" wrapText="1"/>
    </xf>
    <xf numFmtId="0" fontId="2" fillId="6" borderId="2" xfId="0" applyFill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0" fontId="3" fillId="9" borderId="1" xfId="0" applyFill="1" applyFont="1" applyBorder="1" applyAlignment="1">
      <alignment horizontal="left" vertical="center" wrapText="1"/>
    </xf>
    <xf numFmtId="164" fontId="3" fillId="7" borderId="2" xfId="0" applyNumberFormat="1" applyFill="1" applyFont="1" applyBorder="1" applyAlignment="1">
      <alignment horizontal="right" vertical="center"/>
    </xf>
    <xf numFmtId="0" fontId="3" fillId="7" borderId="2" xfId="0" applyFill="1" applyFont="1" applyBorder="1" applyAlignment="1">
      <alignment horizontal="left" vertical="center" wrapText="1"/>
    </xf>
    <xf numFmtId="164" fontId="3" fillId="8" borderId="2" xfId="0" applyNumberFormat="1" applyFill="1" applyFon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164" fontId="4" fillId="8" borderId="2" xfId="0" applyNumberFormat="1" applyFill="1" applyFont="1" applyBorder="1" applyAlignment="1">
      <alignment horizontal="right" vertical="center"/>
    </xf>
    <xf numFmtId="165" fontId="3" fillId="7" borderId="2" xfId="0" applyNumberFormat="1" applyFill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34"/>
  <sheetViews>
    <sheetView tabSelected="0" workbookViewId="0">
      <pane ySplit="2" topLeftCell="A3" activePane="bottomLeft" state="frozen"/>
    </sheetView>
  </sheetViews>
  <sheetFormatPr defaultRowHeight="15"/>
  <cols>
    <col min="1" max="1" width="16" customWidth="1"/>
    <col min="2" max="2" width="34" customWidth="1"/>
    <col min="3" max="3" width="15" customWidth="1"/>
    <col min="4" max="4" width="15" customWidth="1"/>
    <col min="5" max="5" width="18" customWidth="1"/>
    <col min="6" max="6" width="16" customWidth="1"/>
    <col min="7" max="7" width="3" customWidth="1"/>
    <col min="8" max="8" width="35" customWidth="1"/>
    <col min="9" max="9" width="18" customWidth="1"/>
  </cols>
  <sheetData>
    <row r="1" ht="28" customHeight="1">
      <c r="A1" t="inlineStr" s="1">
        <is>
          <t>Проект ЗВК Новосілки</t>
        </is>
      </c>
    </row>
    <row r="2">
      <c r="H2" t="inlineStr" s="5">
        <is>
          <t>Ключевые показатели</t>
        </is>
      </c>
    </row>
    <row r="3">
      <c r="A3" t="inlineStr" s="2">
        <is>
          <t>1. Приходная часть</t>
        </is>
      </c>
      <c r="H3" t="inlineStr" s="9">
        <is>
          <t>Общий оборот</t>
        </is>
      </c>
      <c r="I3" s="10">
        <f>E6</f>
        <v>132000.0</v>
      </c>
    </row>
    <row r="4">
      <c r="A4" t="inlineStr" s="5">
        <is>
          <t>№</t>
        </is>
      </c>
      <c r="B4" t="inlineStr" s="5">
        <is>
          <t>Описание</t>
        </is>
      </c>
      <c r="C4" t="inlineStr" s="5">
        <is>
          <t>Категория</t>
        </is>
      </c>
      <c r="D4" t="inlineStr" s="5">
        <is>
          <t>Дата</t>
        </is>
      </c>
      <c r="E4" t="inlineStr" s="5">
        <is>
          <t>Сумма</t>
        </is>
      </c>
      <c r="F4" t="inlineStr" s="5">
        <is>
          <t>Примечание</t>
        </is>
      </c>
      <c r="H4" t="inlineStr" s="9">
        <is>
          <t>Общие безналичные расходы</t>
        </is>
      </c>
      <c r="I4" s="10">
        <f>E12+E17</f>
        <v>123885.70999999999</v>
      </c>
    </row>
    <row r="5">
      <c r="A5" s="13">
        <v>1</v>
      </c>
      <c r="B5" t="inlineStr" s="13">
        <is>
          <t>Авим Констракшн</t>
        </is>
      </c>
      <c r="C5" t="inlineStr" s="13">
        <is>
          <t/>
        </is>
      </c>
      <c r="D5" s="7">
        <v>46171</v>
      </c>
      <c r="E5" s="6">
        <v>132000.0</v>
      </c>
      <c r="F5" t="inlineStr" s="13">
        <is>
          <t/>
        </is>
      </c>
      <c r="H5" t="inlineStr" s="9">
        <is>
          <t>Остаток безналичных средств</t>
        </is>
      </c>
      <c r="I5" s="10">
        <f>I3-I4</f>
        <v>8114.290000000008</v>
      </c>
    </row>
    <row r="6">
      <c r="A6" t="inlineStr" s="11">
        <is>
          <t>Итого</t>
        </is>
      </c>
      <c r="E6" s="10">
        <f>SUM(E5:E5)</f>
        <v>132000.0</v>
      </c>
      <c r="F6" t="inlineStr" s="11">
        <is>
          <t/>
        </is>
      </c>
      <c r="H6" t="inlineStr" s="9">
        <is>
          <t>Расход на конвертацию (14%)</t>
        </is>
      </c>
      <c r="I6" s="10">
        <f>I5*0.14</f>
        <v>1136.0006000000012</v>
      </c>
    </row>
    <row r="7">
      <c r="H7" t="inlineStr" s="9">
        <is>
          <t>Заработная плата</t>
        </is>
      </c>
      <c r="I7" s="10">
        <f>E34</f>
        <v>45000.0</v>
      </c>
    </row>
    <row r="8">
      <c r="A8" t="inlineStr" s="2">
        <is>
          <t>2. Общие безналичные расходы</t>
        </is>
      </c>
      <c r="H8" t="inlineStr" s="9">
        <is>
          <t>Прямые наличные расходы</t>
        </is>
      </c>
      <c r="I8" s="10">
        <f>E27</f>
        <v>3380.0</v>
      </c>
    </row>
    <row r="9">
      <c r="A9" t="inlineStr" s="5">
        <is>
          <t>№</t>
        </is>
      </c>
      <c r="B9" t="inlineStr" s="5">
        <is>
          <t>Описание</t>
        </is>
      </c>
      <c r="C9" t="inlineStr" s="5">
        <is>
          <t>Категория</t>
        </is>
      </c>
      <c r="D9" t="inlineStr" s="5">
        <is>
          <t>Дата</t>
        </is>
      </c>
      <c r="E9" t="inlineStr" s="5">
        <is>
          <t>Сумма</t>
        </is>
      </c>
      <c r="F9" t="inlineStr" s="5">
        <is>
          <t>Примечание</t>
        </is>
      </c>
      <c r="H9" t="inlineStr" s="9">
        <is>
          <t>Прямые наличные расходы всего</t>
        </is>
      </c>
      <c r="I9" s="10">
        <f>I7+I8</f>
        <v>48380.0</v>
      </c>
    </row>
    <row r="10">
      <c r="A10" s="13">
        <v>1</v>
      </c>
      <c r="B10" t="inlineStr" s="13">
        <is>
          <t>ФОП Приходько</t>
        </is>
      </c>
      <c r="C10" t="inlineStr" s="13">
        <is>
          <t/>
        </is>
      </c>
      <c r="D10" s="7">
        <v>46169</v>
      </c>
      <c r="E10" s="6">
        <v>74468.09</v>
      </c>
      <c r="F10" t="inlineStr" s="13">
        <is>
          <t/>
        </is>
      </c>
      <c r="H10" t="inlineStr" s="9">
        <is>
          <t>Прибыль объекта до общих накладных</t>
        </is>
      </c>
      <c r="I10" s="10">
        <f>I3-I4-I6-I9</f>
        <v>-41401.71059999999</v>
      </c>
    </row>
    <row r="11">
      <c r="A11" s="13">
        <v>2</v>
      </c>
      <c r="B11" t="inlineStr" s="13">
        <is>
          <t>Буддвір (ком)</t>
        </is>
      </c>
      <c r="C11" t="inlineStr" s="13">
        <is>
          <t/>
        </is>
      </c>
      <c r="D11" s="7">
        <v>46171</v>
      </c>
      <c r="E11" s="6">
        <v>49417.62</v>
      </c>
      <c r="F11" t="inlineStr" s="13">
        <is>
          <t/>
        </is>
      </c>
      <c r="H11" t="inlineStr" s="9">
        <is>
          <t>Доля общих накладных</t>
        </is>
      </c>
      <c r="I11" s="12">
        <f>'Результат'!E3</f>
        <v>21328.526582278482</v>
      </c>
    </row>
    <row r="12">
      <c r="A12" t="inlineStr" s="11">
        <is>
          <t>Итого</t>
        </is>
      </c>
      <c r="E12" s="10">
        <f>SUM(E10:E11)</f>
        <v>123885.70999999999</v>
      </c>
      <c r="F12" t="inlineStr" s="11">
        <is>
          <t/>
        </is>
      </c>
      <c r="H12" t="inlineStr" s="9">
        <is>
          <t>Чистая прибыль</t>
        </is>
      </c>
      <c r="I12" s="14">
        <f>'Результат'!I3</f>
        <v>-62730.23718227848</v>
      </c>
    </row>
    <row r="14">
      <c r="A14" t="inlineStr" s="3">
        <is>
          <t>2.1 Безналичные расходы на основные средства</t>
        </is>
      </c>
    </row>
    <row r="15">
      <c r="A15" t="inlineStr" s="5">
        <is>
          <t>№</t>
        </is>
      </c>
      <c r="B15" t="inlineStr" s="5">
        <is>
          <t>Описание</t>
        </is>
      </c>
      <c r="C15" t="inlineStr" s="5">
        <is>
          <t>Категория</t>
        </is>
      </c>
      <c r="D15" t="inlineStr" s="5">
        <is>
          <t>Дата</t>
        </is>
      </c>
      <c r="E15" t="inlineStr" s="5">
        <is>
          <t>Сумма</t>
        </is>
      </c>
      <c r="F15" t="inlineStr" s="5">
        <is>
          <t>Примечание</t>
        </is>
      </c>
    </row>
    <row r="16">
      <c r="A16" s="13">
        <v>1</v>
      </c>
      <c r="B16" t="inlineStr" s="13">
        <is>
          <t/>
        </is>
      </c>
      <c r="C16" t="inlineStr" s="13">
        <is>
          <t/>
        </is>
      </c>
      <c r="D16" t="inlineStr" s="13">
        <is>
          <t/>
        </is>
      </c>
      <c r="E16" s="6">
        <v>0</v>
      </c>
      <c r="F16" t="inlineStr" s="13">
        <is>
          <t/>
        </is>
      </c>
    </row>
    <row r="17">
      <c r="A17" t="inlineStr" s="11">
        <is>
          <t>Итого</t>
        </is>
      </c>
      <c r="E17" s="10">
        <f>SUM(E16:E16)</f>
        <v>0</v>
      </c>
      <c r="F17" t="inlineStr" s="11">
        <is>
          <t/>
        </is>
      </c>
    </row>
    <row r="19">
      <c r="A19" t="inlineStr" s="4">
        <is>
          <t>3. Прямые наличные расходы объекта</t>
        </is>
      </c>
    </row>
    <row r="20">
      <c r="A20" t="inlineStr" s="5">
        <is>
          <t>№</t>
        </is>
      </c>
      <c r="B20" t="inlineStr" s="5">
        <is>
          <t>Описание</t>
        </is>
      </c>
      <c r="C20" t="inlineStr" s="5">
        <is>
          <t>Категория</t>
        </is>
      </c>
      <c r="D20" t="inlineStr" s="5">
        <is>
          <t>Дата</t>
        </is>
      </c>
      <c r="E20" t="inlineStr" s="5">
        <is>
          <t>Сумма</t>
        </is>
      </c>
      <c r="F20" t="inlineStr" s="5">
        <is>
          <t>Примечание</t>
        </is>
      </c>
    </row>
    <row r="21">
      <c r="A21" s="13">
        <v>1</v>
      </c>
      <c r="B21" t="inlineStr" s="13">
        <is>
          <t>Виїзд на обєкт</t>
        </is>
      </c>
      <c r="C21" t="inlineStr" s="13">
        <is>
          <t>ГСМ на работу механизмов</t>
        </is>
      </c>
      <c r="D21" s="7">
        <v>45718</v>
      </c>
      <c r="E21" s="6">
        <v>800.0</v>
      </c>
      <c r="F21" t="inlineStr" s="13">
        <is>
          <t/>
        </is>
      </c>
    </row>
    <row r="22">
      <c r="A22" s="13">
        <v>2</v>
      </c>
      <c r="B22" t="inlineStr" s="13">
        <is>
          <t>Друк проектів</t>
        </is>
      </c>
      <c r="C22" t="inlineStr" s="13">
        <is>
          <t>Расходные материалы</t>
        </is>
      </c>
      <c r="D22" s="7">
        <v>45719</v>
      </c>
      <c r="E22" s="6">
        <v>500.0</v>
      </c>
      <c r="F22" t="inlineStr" s="13">
        <is>
          <t/>
        </is>
      </c>
    </row>
    <row r="23">
      <c r="A23" s="13">
        <v>3</v>
      </c>
      <c r="B23" t="inlineStr" s="13">
        <is>
          <t>Ремонт ПК</t>
        </is>
      </c>
      <c r="C23" t="inlineStr" s="13">
        <is>
          <t>Ремонт инструмента</t>
        </is>
      </c>
      <c r="D23" s="7">
        <v>46102</v>
      </c>
      <c r="E23" s="6">
        <v>400.0</v>
      </c>
      <c r="F23" t="inlineStr" s="13">
        <is>
          <t/>
        </is>
      </c>
    </row>
    <row r="24">
      <c r="A24" s="13">
        <v>4</v>
      </c>
      <c r="B24" t="inlineStr" s="13">
        <is>
          <t>Доставка картриджу</t>
        </is>
      </c>
      <c r="C24" t="inlineStr" s="13">
        <is>
          <t>Транспортные услуги</t>
        </is>
      </c>
      <c r="D24" s="7">
        <v>45679</v>
      </c>
      <c r="E24" s="6">
        <v>80.0</v>
      </c>
      <c r="F24" t="inlineStr" s="13">
        <is>
          <t/>
        </is>
      </c>
    </row>
    <row r="25">
      <c r="A25" s="13">
        <v>5</v>
      </c>
      <c r="B25" t="inlineStr" s="13">
        <is>
          <t>ГСМ Віталій</t>
        </is>
      </c>
      <c r="C25" t="inlineStr" s="13">
        <is>
          <t>Собственный транспорт</t>
        </is>
      </c>
      <c r="D25" s="7">
        <v>46012</v>
      </c>
      <c r="E25" s="6">
        <v>1200.0</v>
      </c>
      <c r="F25" t="inlineStr" s="13">
        <is>
          <t/>
        </is>
      </c>
    </row>
    <row r="26">
      <c r="A26" s="13">
        <v>6</v>
      </c>
      <c r="B26" t="inlineStr" s="13">
        <is>
          <t>мишка</t>
        </is>
      </c>
      <c r="C26" t="inlineStr" s="13">
        <is>
          <t>Новый инструмент / основные средства</t>
        </is>
      </c>
      <c r="D26" s="7">
        <v>46056</v>
      </c>
      <c r="E26" s="6">
        <v>400.0</v>
      </c>
      <c r="F26" t="inlineStr" s="13">
        <is>
          <t/>
        </is>
      </c>
    </row>
    <row r="27">
      <c r="A27" t="inlineStr" s="11">
        <is>
          <t>Итого</t>
        </is>
      </c>
      <c r="E27" s="10">
        <f>SUM(E21:E26)</f>
        <v>3380.0</v>
      </c>
      <c r="F27" t="inlineStr" s="11">
        <is>
          <t/>
        </is>
      </c>
    </row>
    <row r="29">
      <c r="A29" t="inlineStr" s="3">
        <is>
          <t>4. Дневник заработной платы</t>
        </is>
      </c>
    </row>
    <row r="30">
      <c r="A30" t="inlineStr" s="5">
        <is>
          <t>№</t>
        </is>
      </c>
      <c r="B30" t="inlineStr" s="5">
        <is>
          <t>Описание</t>
        </is>
      </c>
      <c r="C30" t="inlineStr" s="5">
        <is>
          <t>Категория</t>
        </is>
      </c>
      <c r="D30" t="inlineStr" s="5">
        <is>
          <t>Дата</t>
        </is>
      </c>
      <c r="E30" t="inlineStr" s="5">
        <is>
          <t>Сумма</t>
        </is>
      </c>
      <c r="F30" t="inlineStr" s="5">
        <is>
          <t>Примечание</t>
        </is>
      </c>
    </row>
    <row r="31">
      <c r="A31" s="13">
        <v>1</v>
      </c>
      <c r="B31" t="inlineStr" s="13">
        <is>
          <t>Оплата ТАНЯ</t>
        </is>
      </c>
      <c r="C31" t="inlineStr" s="13">
        <is>
          <t>Бригада 1</t>
        </is>
      </c>
      <c r="D31" s="7">
        <v>46023</v>
      </c>
      <c r="E31" s="6">
        <v>10000.0</v>
      </c>
      <c r="F31" t="inlineStr" s="13">
        <is>
          <t/>
        </is>
      </c>
    </row>
    <row r="32">
      <c r="A32" s="13">
        <v>2</v>
      </c>
      <c r="B32" t="inlineStr" s="13">
        <is>
          <t>Оплата Ірина</t>
        </is>
      </c>
      <c r="C32" t="inlineStr" s="13">
        <is>
          <t>Бригада 2</t>
        </is>
      </c>
      <c r="D32" s="7">
        <v>46023</v>
      </c>
      <c r="E32" s="6">
        <v>15000.0</v>
      </c>
      <c r="F32" t="inlineStr" s="13">
        <is>
          <t/>
        </is>
      </c>
    </row>
    <row r="33">
      <c r="A33" s="13">
        <v>3</v>
      </c>
      <c r="B33" t="inlineStr" s="13">
        <is>
          <t>ГІП</t>
        </is>
      </c>
      <c r="C33" t="inlineStr" s="13">
        <is>
          <t>Прораб</t>
        </is>
      </c>
      <c r="D33" s="7">
        <v>46023</v>
      </c>
      <c r="E33" s="6">
        <v>20000.0</v>
      </c>
      <c r="F33" t="inlineStr" s="13">
        <is>
          <t/>
        </is>
      </c>
    </row>
    <row r="34">
      <c r="A34" t="inlineStr" s="11">
        <is>
          <t>Итого</t>
        </is>
      </c>
      <c r="E34" s="10">
        <f>SUM(E31:E33)</f>
        <v>45000.0</v>
      </c>
      <c r="F34" t="inlineStr" s="11">
        <is>
          <t/>
        </is>
      </c>
    </row>
  </sheetData>
  <mergeCells count="12">
    <mergeCell ref="A1:I1"/>
    <mergeCell ref="H2:I2"/>
    <mergeCell ref="A3:F3"/>
    <mergeCell ref="A6:D6"/>
    <mergeCell ref="A8:F8"/>
    <mergeCell ref="A12:D12"/>
    <mergeCell ref="A14:F14"/>
    <mergeCell ref="A17:D17"/>
    <mergeCell ref="A19:F19"/>
    <mergeCell ref="A27:D27"/>
    <mergeCell ref="A29:F29"/>
    <mergeCell ref="A34:D34"/>
  </mergeCells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dimension ref="A1:I34"/>
  <sheetViews>
    <sheetView tabSelected="0" workbookViewId="0">
      <pane ySplit="2" topLeftCell="A3" activePane="bottomLeft" state="frozen"/>
    </sheetView>
  </sheetViews>
  <sheetFormatPr defaultRowHeight="15"/>
  <cols>
    <col min="1" max="1" width="16" customWidth="1"/>
    <col min="2" max="2" width="34" customWidth="1"/>
    <col min="3" max="3" width="15" customWidth="1"/>
    <col min="4" max="4" width="15" customWidth="1"/>
    <col min="5" max="5" width="18" customWidth="1"/>
    <col min="6" max="6" width="16" customWidth="1"/>
    <col min="7" max="7" width="3" customWidth="1"/>
    <col min="8" max="8" width="35" customWidth="1"/>
    <col min="9" max="9" width="18" customWidth="1"/>
  </cols>
  <sheetData>
    <row r="1" ht="28" customHeight="1">
      <c r="A1" t="inlineStr" s="1">
        <is>
          <t>Новосілки ЗВК 1ч</t>
        </is>
      </c>
    </row>
    <row r="2">
      <c r="H2" t="inlineStr" s="5">
        <is>
          <t>Ключевые показатели</t>
        </is>
      </c>
    </row>
    <row r="3">
      <c r="A3" t="inlineStr" s="2">
        <is>
          <t>1. Приходная часть</t>
        </is>
      </c>
      <c r="H3" t="inlineStr" s="9">
        <is>
          <t>Общий оборот</t>
        </is>
      </c>
      <c r="I3" s="10">
        <f>E6</f>
        <v>500000.0</v>
      </c>
    </row>
    <row r="4">
      <c r="A4" t="inlineStr" s="5">
        <is>
          <t>№</t>
        </is>
      </c>
      <c r="B4" t="inlineStr" s="5">
        <is>
          <t>Описание</t>
        </is>
      </c>
      <c r="C4" t="inlineStr" s="5">
        <is>
          <t>Категория</t>
        </is>
      </c>
      <c r="D4" t="inlineStr" s="5">
        <is>
          <t>Дата</t>
        </is>
      </c>
      <c r="E4" t="inlineStr" s="5">
        <is>
          <t>Сумма</t>
        </is>
      </c>
      <c r="F4" t="inlineStr" s="5">
        <is>
          <t>Примечание</t>
        </is>
      </c>
      <c r="H4" t="inlineStr" s="9">
        <is>
          <t>Общие безналичные расходы</t>
        </is>
      </c>
      <c r="I4" s="10">
        <f>E12+E17</f>
        <v>493967.82999999996</v>
      </c>
    </row>
    <row r="5">
      <c r="A5" s="13">
        <v>1</v>
      </c>
      <c r="B5" t="inlineStr" s="13">
        <is>
          <t>Авим Констракшн (Аванс)</t>
        </is>
      </c>
      <c r="C5" t="inlineStr" s="13">
        <is>
          <t/>
        </is>
      </c>
      <c r="D5" s="7">
        <v>46178</v>
      </c>
      <c r="E5" s="6">
        <v>500000.0</v>
      </c>
      <c r="F5" t="inlineStr" s="13">
        <is>
          <t/>
        </is>
      </c>
      <c r="H5" t="inlineStr" s="9">
        <is>
          <t>Остаток безналичных средств</t>
        </is>
      </c>
      <c r="I5" s="10">
        <f>I3-I4</f>
        <v>6032.170000000042</v>
      </c>
    </row>
    <row r="6">
      <c r="A6" t="inlineStr" s="11">
        <is>
          <t>Итого</t>
        </is>
      </c>
      <c r="E6" s="10">
        <f>SUM(E5:E5)</f>
        <v>500000.0</v>
      </c>
      <c r="F6" t="inlineStr" s="11">
        <is>
          <t/>
        </is>
      </c>
      <c r="H6" t="inlineStr" s="9">
        <is>
          <t>Расход на конвертацию (14%)</t>
        </is>
      </c>
      <c r="I6" s="10">
        <f>I5*0.14</f>
        <v>844.503800000006</v>
      </c>
    </row>
    <row r="7">
      <c r="H7" t="inlineStr" s="9">
        <is>
          <t>Заработная плата</t>
        </is>
      </c>
      <c r="I7" s="10">
        <f>E34</f>
        <v>56000.0</v>
      </c>
    </row>
    <row r="8">
      <c r="A8" t="inlineStr" s="2">
        <is>
          <t>2. Общие безналичные расходы</t>
        </is>
      </c>
      <c r="H8" t="inlineStr" s="9">
        <is>
          <t>Прямые наличные расходы</t>
        </is>
      </c>
      <c r="I8" s="10">
        <f>E27</f>
        <v>6300.0</v>
      </c>
    </row>
    <row r="9">
      <c r="A9" t="inlineStr" s="5">
        <is>
          <t>№</t>
        </is>
      </c>
      <c r="B9" t="inlineStr" s="5">
        <is>
          <t>Описание</t>
        </is>
      </c>
      <c r="C9" t="inlineStr" s="5">
        <is>
          <t>Категория</t>
        </is>
      </c>
      <c r="D9" t="inlineStr" s="5">
        <is>
          <t>Дата</t>
        </is>
      </c>
      <c r="E9" t="inlineStr" s="5">
        <is>
          <t>Сумма</t>
        </is>
      </c>
      <c r="F9" t="inlineStr" s="5">
        <is>
          <t>Примечание</t>
        </is>
      </c>
      <c r="H9" t="inlineStr" s="9">
        <is>
          <t>Прямые наличные расходы всего</t>
        </is>
      </c>
      <c r="I9" s="10">
        <f>I7+I8</f>
        <v>62300.0</v>
      </c>
    </row>
    <row r="10">
      <c r="A10" s="13">
        <v>1</v>
      </c>
      <c r="B10" t="inlineStr" s="13">
        <is>
          <t>Перший дім (ком)</t>
        </is>
      </c>
      <c r="C10" t="inlineStr" s="13">
        <is>
          <t/>
        </is>
      </c>
      <c r="D10" s="7">
        <v>46164</v>
      </c>
      <c r="E10" s="6">
        <v>139232.83</v>
      </c>
      <c r="F10" t="inlineStr" s="13">
        <is>
          <t/>
        </is>
      </c>
      <c r="H10" t="inlineStr" s="9">
        <is>
          <t>Прибыль объекта до общих накладных</t>
        </is>
      </c>
      <c r="I10" s="10">
        <f>I3-I4-I6-I9</f>
        <v>-57112.333799999964</v>
      </c>
    </row>
    <row r="11">
      <c r="A11" s="13">
        <v>2</v>
      </c>
      <c r="B11" t="inlineStr" s="13">
        <is>
          <t>ЧБТК (ком)</t>
        </is>
      </c>
      <c r="C11" t="inlineStr" s="13">
        <is>
          <t/>
        </is>
      </c>
      <c r="D11" s="7">
        <v>46188</v>
      </c>
      <c r="E11" s="6">
        <v>354735.0</v>
      </c>
      <c r="F11" t="inlineStr" s="13">
        <is>
          <t/>
        </is>
      </c>
      <c r="H11" t="inlineStr" s="9">
        <is>
          <t>Доля общих накладных</t>
        </is>
      </c>
      <c r="I11" s="12">
        <f>'Результат'!E4</f>
        <v>80789.87341772152</v>
      </c>
    </row>
    <row r="12">
      <c r="A12" t="inlineStr" s="11">
        <is>
          <t>Итого</t>
        </is>
      </c>
      <c r="E12" s="10">
        <f>SUM(E10:E11)</f>
        <v>493967.82999999996</v>
      </c>
      <c r="F12" t="inlineStr" s="11">
        <is>
          <t/>
        </is>
      </c>
      <c r="H12" t="inlineStr" s="9">
        <is>
          <t>Чистая прибыль</t>
        </is>
      </c>
      <c r="I12" s="14">
        <f>'Результат'!I4</f>
        <v>-137902.2072177215</v>
      </c>
    </row>
    <row r="14">
      <c r="A14" t="inlineStr" s="3">
        <is>
          <t>2.1 Безналичные расходы на основные средства</t>
        </is>
      </c>
    </row>
    <row r="15">
      <c r="A15" t="inlineStr" s="5">
        <is>
          <t>№</t>
        </is>
      </c>
      <c r="B15" t="inlineStr" s="5">
        <is>
          <t>Описание</t>
        </is>
      </c>
      <c r="C15" t="inlineStr" s="5">
        <is>
          <t>Категория</t>
        </is>
      </c>
      <c r="D15" t="inlineStr" s="5">
        <is>
          <t>Дата</t>
        </is>
      </c>
      <c r="E15" t="inlineStr" s="5">
        <is>
          <t>Сумма</t>
        </is>
      </c>
      <c r="F15" t="inlineStr" s="5">
        <is>
          <t>Примечание</t>
        </is>
      </c>
    </row>
    <row r="16">
      <c r="A16" s="13">
        <v>1</v>
      </c>
      <c r="B16" t="inlineStr" s="13">
        <is>
          <t/>
        </is>
      </c>
      <c r="C16" t="inlineStr" s="13">
        <is>
          <t/>
        </is>
      </c>
      <c r="D16" t="inlineStr" s="13">
        <is>
          <t/>
        </is>
      </c>
      <c r="E16" s="6">
        <v>0</v>
      </c>
      <c r="F16" t="inlineStr" s="13">
        <is>
          <t/>
        </is>
      </c>
    </row>
    <row r="17">
      <c r="A17" t="inlineStr" s="11">
        <is>
          <t>Итого</t>
        </is>
      </c>
      <c r="E17" s="10">
        <f>SUM(E16:E16)</f>
        <v>0</v>
      </c>
      <c r="F17" t="inlineStr" s="11">
        <is>
          <t/>
        </is>
      </c>
    </row>
    <row r="19">
      <c r="A19" t="inlineStr" s="4">
        <is>
          <t>3. Прямые наличные расходы объекта</t>
        </is>
      </c>
    </row>
    <row r="20">
      <c r="A20" t="inlineStr" s="5">
        <is>
          <t>№</t>
        </is>
      </c>
      <c r="B20" t="inlineStr" s="5">
        <is>
          <t>Описание</t>
        </is>
      </c>
      <c r="C20" t="inlineStr" s="5">
        <is>
          <t>Категория</t>
        </is>
      </c>
      <c r="D20" t="inlineStr" s="5">
        <is>
          <t>Дата</t>
        </is>
      </c>
      <c r="E20" t="inlineStr" s="5">
        <is>
          <t>Сумма</t>
        </is>
      </c>
      <c r="F20" t="inlineStr" s="5">
        <is>
          <t>Примечание</t>
        </is>
      </c>
    </row>
    <row r="21">
      <c r="A21" s="13">
        <v>1</v>
      </c>
      <c r="B21" t="inlineStr" s="13">
        <is>
          <t>Экскаватор</t>
        </is>
      </c>
      <c r="C21" t="inlineStr" s="13">
        <is>
          <t>ГСМ на работу механизмов</t>
        </is>
      </c>
      <c r="D21" s="7">
        <v>45831</v>
      </c>
      <c r="E21" s="6">
        <v>300.0</v>
      </c>
      <c r="F21" t="inlineStr" s="13">
        <is>
          <t/>
        </is>
      </c>
    </row>
    <row r="22">
      <c r="A22" s="13">
        <v>2</v>
      </c>
      <c r="B22" t="inlineStr" s="13">
        <is>
          <t>Шпаклівка</t>
        </is>
      </c>
      <c r="C22" t="inlineStr" s="13">
        <is>
          <t>Расходные материалы</t>
        </is>
      </c>
      <c r="D22" s="7">
        <v>46034</v>
      </c>
      <c r="E22" s="6">
        <v>400.0</v>
      </c>
      <c r="F22" t="inlineStr" s="13">
        <is>
          <t/>
        </is>
      </c>
    </row>
    <row r="23">
      <c r="A23" s="13">
        <v>3</v>
      </c>
      <c r="B23" t="inlineStr" s="13">
        <is>
          <t>Ремонт болгарки</t>
        </is>
      </c>
      <c r="C23" t="inlineStr" s="13">
        <is>
          <t>Ремонт инструмента</t>
        </is>
      </c>
      <c r="D23" s="7">
        <v>46035</v>
      </c>
      <c r="E23" s="6">
        <v>600.0</v>
      </c>
      <c r="F23" t="inlineStr" s="13">
        <is>
          <t/>
        </is>
      </c>
    </row>
    <row r="24">
      <c r="A24" s="13">
        <v>4</v>
      </c>
      <c r="B24" t="inlineStr" s="13">
        <is>
          <t>Доставка</t>
        </is>
      </c>
      <c r="C24" t="inlineStr" s="13">
        <is>
          <t>Транспортные услуги</t>
        </is>
      </c>
      <c r="D24" s="7">
        <v>45668</v>
      </c>
      <c r="E24" s="6">
        <v>400.0</v>
      </c>
      <c r="F24" t="inlineStr" s="13">
        <is>
          <t/>
        </is>
      </c>
    </row>
    <row r="25">
      <c r="A25" s="13">
        <v>5</v>
      </c>
      <c r="B25" t="inlineStr" s="13">
        <is>
          <t>ГСМ Саша</t>
        </is>
      </c>
      <c r="C25" t="inlineStr" s="13">
        <is>
          <t>Собственный транспорт</t>
        </is>
      </c>
      <c r="D25" s="7">
        <v>45669</v>
      </c>
      <c r="E25" s="6">
        <v>1000.0</v>
      </c>
      <c r="F25" t="inlineStr" s="13">
        <is>
          <t/>
        </is>
      </c>
    </row>
    <row r="26">
      <c r="A26" s="13">
        <v>6</v>
      </c>
      <c r="B26" t="inlineStr" s="13">
        <is>
          <t>Гайковерт</t>
        </is>
      </c>
      <c r="C26" t="inlineStr" s="13">
        <is>
          <t>Новый инструмент / основные средства</t>
        </is>
      </c>
      <c r="D26" s="7">
        <v>45698</v>
      </c>
      <c r="E26" s="6">
        <v>3600.0</v>
      </c>
      <c r="F26" t="inlineStr" s="13">
        <is>
          <t/>
        </is>
      </c>
    </row>
    <row r="27">
      <c r="A27" t="inlineStr" s="11">
        <is>
          <t>Итого</t>
        </is>
      </c>
      <c r="E27" s="10">
        <f>SUM(E21:E26)</f>
        <v>6300.0</v>
      </c>
      <c r="F27" t="inlineStr" s="11">
        <is>
          <t/>
        </is>
      </c>
    </row>
    <row r="29">
      <c r="A29" t="inlineStr" s="3">
        <is>
          <t>4. Дневник заработной платы</t>
        </is>
      </c>
    </row>
    <row r="30">
      <c r="A30" t="inlineStr" s="5">
        <is>
          <t>№</t>
        </is>
      </c>
      <c r="B30" t="inlineStr" s="5">
        <is>
          <t>Описание</t>
        </is>
      </c>
      <c r="C30" t="inlineStr" s="5">
        <is>
          <t>Категория</t>
        </is>
      </c>
      <c r="D30" t="inlineStr" s="5">
        <is>
          <t>Дата</t>
        </is>
      </c>
      <c r="E30" t="inlineStr" s="5">
        <is>
          <t>Сумма</t>
        </is>
      </c>
      <c r="F30" t="inlineStr" s="5">
        <is>
          <t>Примечание</t>
        </is>
      </c>
    </row>
    <row r="31">
      <c r="A31" s="13">
        <v>1</v>
      </c>
      <c r="B31" t="inlineStr" s="13">
        <is>
          <t>Аванс</t>
        </is>
      </c>
      <c r="C31" t="inlineStr" s="13">
        <is>
          <t>Бригада 1</t>
        </is>
      </c>
      <c r="D31" s="7">
        <v>45689</v>
      </c>
      <c r="E31" s="6">
        <v>30000.0</v>
      </c>
      <c r="F31" t="inlineStr" s="13">
        <is>
          <t/>
        </is>
      </c>
    </row>
    <row r="32">
      <c r="A32" s="13">
        <v>2</v>
      </c>
      <c r="B32" t="inlineStr" s="13">
        <is>
          <t>Розрахунок</t>
        </is>
      </c>
      <c r="C32" t="inlineStr" s="13">
        <is>
          <t>Бригада 2</t>
        </is>
      </c>
      <c r="D32" s="7">
        <v>46082</v>
      </c>
      <c r="E32" s="6">
        <v>6000.0</v>
      </c>
      <c r="F32" t="inlineStr" s="13">
        <is>
          <t/>
        </is>
      </c>
    </row>
    <row r="33">
      <c r="A33" s="13">
        <v>3</v>
      </c>
      <c r="B33" t="inlineStr" s="13">
        <is>
          <t>ЗП травень</t>
        </is>
      </c>
      <c r="C33" t="inlineStr" s="13">
        <is>
          <t>Прораб</t>
        </is>
      </c>
      <c r="D33" s="7">
        <v>46170</v>
      </c>
      <c r="E33" s="6">
        <v>20000.0</v>
      </c>
      <c r="F33" t="inlineStr" s="13">
        <is>
          <t/>
        </is>
      </c>
    </row>
    <row r="34">
      <c r="A34" t="inlineStr" s="11">
        <is>
          <t>Итого</t>
        </is>
      </c>
      <c r="E34" s="10">
        <f>SUM(E31:E33)</f>
        <v>56000.0</v>
      </c>
      <c r="F34" t="inlineStr" s="11">
        <is>
          <t/>
        </is>
      </c>
    </row>
  </sheetData>
  <mergeCells count="12">
    <mergeCell ref="A1:I1"/>
    <mergeCell ref="H2:I2"/>
    <mergeCell ref="A3:F3"/>
    <mergeCell ref="A6:D6"/>
    <mergeCell ref="A8:F8"/>
    <mergeCell ref="A12:D12"/>
    <mergeCell ref="A14:F14"/>
    <mergeCell ref="A17:D17"/>
    <mergeCell ref="A19:F19"/>
    <mergeCell ref="A27:D27"/>
    <mergeCell ref="A29:F29"/>
    <mergeCell ref="A34:D34"/>
  </mergeCells>
  <pageMargins left="0.3" right="0.3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dimension ref="A1:I16"/>
  <sheetViews>
    <sheetView tabSelected="0" workbookViewId="0">
      <pane ySplit="3" topLeftCell="A4" activePane="bottomLeft" state="frozen"/>
    </sheetView>
  </sheetViews>
  <sheetFormatPr defaultRowHeight="15"/>
  <cols>
    <col min="1" max="1" width="18" customWidth="1"/>
    <col min="2" max="2" width="32" customWidth="1"/>
    <col min="3" max="3" width="22" customWidth="1"/>
    <col min="4" max="4" width="16" customWidth="1"/>
    <col min="5" max="5" width="18" customWidth="1"/>
    <col min="6" max="6" width="18" customWidth="1"/>
    <col min="7" max="7" width="4" customWidth="1"/>
    <col min="8" max="8" width="26" customWidth="1"/>
    <col min="9" max="9" width="18" customWidth="1"/>
  </cols>
  <sheetData>
    <row r="1" ht="28" customHeight="1">
      <c r="A1" t="inlineStr" s="1">
        <is>
          <t>ОБЩИЕ НАКЛАДНЫЕ РАСХОДЫ</t>
        </is>
      </c>
    </row>
    <row r="2">
      <c r="H2" t="inlineStr" s="5">
        <is>
          <t>Сводка</t>
        </is>
      </c>
    </row>
    <row r="3">
      <c r="A3" t="inlineStr" s="5">
        <is>
          <t>№</t>
        </is>
      </c>
      <c r="B3" t="inlineStr" s="5">
        <is>
          <t>Описание</t>
        </is>
      </c>
      <c r="C3" t="inlineStr" s="5">
        <is>
          <t>Группа</t>
        </is>
      </c>
      <c r="D3" t="inlineStr" s="5">
        <is>
          <t>Категория</t>
        </is>
      </c>
      <c r="E3" t="inlineStr" s="5">
        <is>
          <t>Дата</t>
        </is>
      </c>
      <c r="F3" t="inlineStr" s="5">
        <is>
          <t>Сумма</t>
        </is>
      </c>
      <c r="H3" t="inlineStr" s="9">
        <is>
          <t>Безналичные накладные</t>
        </is>
      </c>
      <c r="I3" s="10">
        <f>F4+F5+F6+F7+F8+F9+F10+F11+F12</f>
        <v>109440.0</v>
      </c>
    </row>
    <row r="4">
      <c r="A4" s="13">
        <v>1</v>
      </c>
      <c r="B4" t="inlineStr" s="13">
        <is>
          <t>Аккорд банк ( обслуг рах)</t>
        </is>
      </c>
      <c r="C4" t="inlineStr" s="13">
        <is>
          <t>Безналичные</t>
        </is>
      </c>
      <c r="D4" t="inlineStr" s="13">
        <is>
          <t>Банк</t>
        </is>
      </c>
      <c r="E4" s="7">
        <v>46170</v>
      </c>
      <c r="F4" s="6">
        <v>400.0</v>
      </c>
      <c r="H4" t="inlineStr" s="9">
        <is>
          <t>Корректировка конвертации 14%</t>
        </is>
      </c>
      <c r="I4" s="10">
        <f>I3*0.14</f>
        <v>15321.600000000002</v>
      </c>
    </row>
    <row r="5">
      <c r="A5" s="13">
        <v>2</v>
      </c>
      <c r="B5" t="inlineStr" s="13">
        <is>
          <t>Аккорд банк ( комісія)</t>
        </is>
      </c>
      <c r="C5" t="inlineStr" s="13">
        <is>
          <t>Безналичные</t>
        </is>
      </c>
      <c r="D5" t="inlineStr" s="13">
        <is>
          <t>Банк</t>
        </is>
      </c>
      <c r="E5" s="7">
        <v>46164</v>
      </c>
      <c r="F5" s="6">
        <v>10.0</v>
      </c>
      <c r="H5" t="inlineStr" s="9">
        <is>
          <t>Наличные накладные</t>
        </is>
      </c>
      <c r="I5" s="10">
        <f>F13+F14+F15</f>
        <v>8000.0</v>
      </c>
    </row>
    <row r="6">
      <c r="A6" s="13">
        <v>3</v>
      </c>
      <c r="B6" t="inlineStr" s="13">
        <is>
          <t>Аккорд банк ( комісія)</t>
        </is>
      </c>
      <c r="C6" t="inlineStr" s="13">
        <is>
          <t>Безналичные</t>
        </is>
      </c>
      <c r="D6" t="inlineStr" s="13">
        <is>
          <t>Банк</t>
        </is>
      </c>
      <c r="E6" s="7">
        <v>46178</v>
      </c>
      <c r="F6" s="6">
        <v>20.0</v>
      </c>
      <c r="H6" t="inlineStr" s="11">
        <is>
          <t>Накладные к распределению</t>
        </is>
      </c>
      <c r="I6" s="12">
        <f>I3+I5-I4</f>
        <v>102118.4</v>
      </c>
    </row>
    <row r="7">
      <c r="A7" s="13">
        <v>4</v>
      </c>
      <c r="B7" t="inlineStr" s="13">
        <is>
          <t>Аккорд банк ( комісія)</t>
        </is>
      </c>
      <c r="C7" t="inlineStr" s="13">
        <is>
          <t>Безналичные</t>
        </is>
      </c>
      <c r="D7" t="inlineStr" s="13">
        <is>
          <t>Банк</t>
        </is>
      </c>
      <c r="E7" s="7">
        <v>46188</v>
      </c>
      <c r="F7" s="6">
        <v>10.0</v>
      </c>
    </row>
    <row r="8">
      <c r="A8" s="13">
        <v>5</v>
      </c>
      <c r="B8" t="inlineStr" s="13">
        <is>
          <t>РКО</t>
        </is>
      </c>
      <c r="C8" t="inlineStr" s="13">
        <is>
          <t>Безналичные</t>
        </is>
      </c>
      <c r="D8" t="inlineStr" s="13">
        <is>
          <t>Банк</t>
        </is>
      </c>
      <c r="E8" s="7">
        <v>46164</v>
      </c>
      <c r="F8" s="6">
        <v>100.0</v>
      </c>
    </row>
    <row r="9">
      <c r="A9" s="13">
        <v>6</v>
      </c>
      <c r="B9" t="inlineStr" s="13">
        <is>
          <t>Поповнення ПДВ</t>
        </is>
      </c>
      <c r="C9" t="inlineStr" s="13">
        <is>
          <t>Безналичные</t>
        </is>
      </c>
      <c r="D9" t="inlineStr" s="13">
        <is>
          <t>Налоги</t>
        </is>
      </c>
      <c r="E9" s="7">
        <v>46177</v>
      </c>
      <c r="F9" s="6">
        <v>26500.0</v>
      </c>
    </row>
    <row r="10">
      <c r="A10" s="13">
        <v>7</v>
      </c>
      <c r="B10" t="inlineStr" s="13">
        <is>
          <t>Поповнення ПДВ</t>
        </is>
      </c>
      <c r="C10" t="inlineStr" s="13">
        <is>
          <t>Безналичные</t>
        </is>
      </c>
      <c r="D10" t="inlineStr" s="13">
        <is>
          <t>Налоги</t>
        </is>
      </c>
      <c r="E10" s="7">
        <v>46188</v>
      </c>
      <c r="F10" s="6">
        <v>22400.0</v>
      </c>
    </row>
    <row r="11">
      <c r="A11" s="13">
        <v>8</v>
      </c>
      <c r="B11" t="inlineStr" s="13">
        <is>
          <t>ЗП ФОП ФедосеєваГ.Б. (травень)</t>
        </is>
      </c>
      <c r="C11" t="inlineStr" s="13">
        <is>
          <t>Безналичные</t>
        </is>
      </c>
      <c r="D11" t="inlineStr" s="13">
        <is>
          <t>Другое</t>
        </is>
      </c>
      <c r="E11" s="7">
        <v>46178</v>
      </c>
      <c r="F11" s="6">
        <v>20000.0</v>
      </c>
    </row>
    <row r="12">
      <c r="A12" s="13">
        <v>9</v>
      </c>
      <c r="B12" t="inlineStr" s="13">
        <is>
          <t>ЗП ФОП ФедосеєваГ.Б. (березень, квітень)</t>
        </is>
      </c>
      <c r="C12" t="inlineStr" s="13">
        <is>
          <t>Безналичные</t>
        </is>
      </c>
      <c r="D12" t="inlineStr" s="13">
        <is>
          <t>Другое</t>
        </is>
      </c>
      <c r="E12" s="7">
        <v>46164</v>
      </c>
      <c r="F12" s="6">
        <v>40000.0</v>
      </c>
    </row>
    <row r="13">
      <c r="A13" s="13">
        <v>10</v>
      </c>
      <c r="B13" t="inlineStr" s="13">
        <is>
          <t>ремонт ТОйота</t>
        </is>
      </c>
      <c r="C13" t="inlineStr" s="13">
        <is>
          <t>Наличные</t>
        </is>
      </c>
      <c r="D13" t="inlineStr" s="13">
        <is>
          <t>ГСМ и техобслуживание</t>
        </is>
      </c>
      <c r="E13" s="7">
        <v>46154</v>
      </c>
      <c r="F13" s="6">
        <v>1400.0</v>
      </c>
    </row>
    <row r="14">
      <c r="A14" s="13">
        <v>11</v>
      </c>
      <c r="B14" t="inlineStr" s="13">
        <is>
          <t>Ремонт Принтер</t>
        </is>
      </c>
      <c r="C14" t="inlineStr" s="13">
        <is>
          <t>Наличные</t>
        </is>
      </c>
      <c r="D14" t="inlineStr" s="13">
        <is>
          <t>Другое</t>
        </is>
      </c>
      <c r="E14" s="7">
        <v>45923</v>
      </c>
      <c r="F14" s="6">
        <v>600.0</v>
      </c>
    </row>
    <row r="15">
      <c r="A15" s="13">
        <v>12</v>
      </c>
      <c r="B15" t="inlineStr" s="13">
        <is>
          <t>Проживання бригада 1 травень</t>
        </is>
      </c>
      <c r="C15" t="inlineStr" s="13">
        <is>
          <t>Наличные</t>
        </is>
      </c>
      <c r="D15" t="inlineStr" s="13">
        <is>
          <t>Жильё и аренда</t>
        </is>
      </c>
      <c r="E15" s="7">
        <v>45801</v>
      </c>
      <c r="F15" s="6">
        <v>6000.0</v>
      </c>
    </row>
    <row r="16">
      <c r="A16" t="inlineStr" s="11">
        <is>
          <t>Итого</t>
        </is>
      </c>
      <c r="F16" s="10">
        <f>SUM(F4:F15)</f>
        <v>117440.0</v>
      </c>
    </row>
  </sheetData>
  <autoFilter ref="A3:F15"/>
  <mergeCells count="3">
    <mergeCell ref="A1:I1"/>
    <mergeCell ref="H2:I2"/>
    <mergeCell ref="A16:E16"/>
  </mergeCells>
  <pageMargins left="0.3" right="0.3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dimension ref="A1:J7"/>
  <sheetViews>
    <sheetView tabSelected="0" workbookViewId="0">
      <pane ySplit="2" topLeftCell="A3" activePane="bottomLeft" state="frozen"/>
    </sheetView>
  </sheetViews>
  <sheetFormatPr defaultRowHeight="15"/>
  <cols>
    <col min="1" max="1" width="8" customWidth="1"/>
    <col min="2" max="2" width="32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16" customWidth="1"/>
  </cols>
  <sheetData>
    <row r="1" ht="28" customHeight="1">
      <c r="A1" t="inlineStr" s="1">
        <is>
          <t>СВОДНЫЙ РЕЗУЛЬТАТ ПО ВСЕМ СТРОЙКАМ</t>
        </is>
      </c>
    </row>
    <row r="2">
      <c r="A2" t="inlineStr" s="5">
        <is>
          <t>№ п/п</t>
        </is>
      </c>
      <c r="B2" t="inlineStr" s="5">
        <is>
          <t>Наименование</t>
        </is>
      </c>
      <c r="C2" t="inlineStr" s="5">
        <is>
          <t>Лист</t>
        </is>
      </c>
      <c r="D2" t="inlineStr" s="5">
        <is>
          <t>Общий оборот</t>
        </is>
      </c>
      <c r="E2" t="inlineStr" s="5">
        <is>
          <t>Накладные (доля)</t>
        </is>
      </c>
      <c r="F2" t="inlineStr" s="5">
        <is>
          <t>Общие безналичные расходы</t>
        </is>
      </c>
      <c r="G2" t="inlineStr" s="5">
        <is>
          <t>Расход на конвертацию</t>
        </is>
      </c>
      <c r="H2" t="inlineStr" s="5">
        <is>
          <t>Наличные расходы</t>
        </is>
      </c>
      <c r="I2" t="inlineStr" s="5">
        <is>
          <t>Чистая прибыль</t>
        </is>
      </c>
      <c r="J2" t="inlineStr" s="5">
        <is>
          <t>Процент прибыли</t>
        </is>
      </c>
    </row>
    <row r="3">
      <c r="A3" s="13">
        <v>1</v>
      </c>
      <c r="B3" t="inlineStr" s="13">
        <is>
          <t>Проект ЗВК Новосілки</t>
        </is>
      </c>
      <c r="C3" t="inlineStr" s="13">
        <is>
          <t>Проект ЗВК Новосілки</t>
        </is>
      </c>
      <c r="D3" s="6">
        <f>'Проект ЗВК Новосілки'!I3</f>
        <v>132000.0</v>
      </c>
      <c r="E3" s="6">
        <f>IFERROR($E$5*D3/$D$5,0)</f>
        <v>21328.526582278482</v>
      </c>
      <c r="F3" s="6">
        <f>'Проект ЗВК Новосілки'!I4</f>
        <v>123885.70999999999</v>
      </c>
      <c r="G3" s="6">
        <f>'Проект ЗВК Новосілки'!I6</f>
        <v>1136.0006000000012</v>
      </c>
      <c r="H3" s="6">
        <f>'Проект ЗВК Новосілки'!I9</f>
        <v>48380.0</v>
      </c>
      <c r="I3" s="14">
        <f>D3-E3-F3-G3-H3</f>
        <v>-62730.23718227848</v>
      </c>
      <c r="J3" s="8">
        <f>IFERROR(I3/D3,0)</f>
        <v>-0.4752290695627157</v>
      </c>
    </row>
    <row r="4">
      <c r="A4" s="13">
        <v>2</v>
      </c>
      <c r="B4" t="inlineStr" s="13">
        <is>
          <t>Новосілки ЗВК 1ч</t>
        </is>
      </c>
      <c r="C4" t="inlineStr" s="13">
        <is>
          <t>Новосілки ЗВК 1ч</t>
        </is>
      </c>
      <c r="D4" s="6">
        <f>'Новосілки ЗВК 1ч'!I3</f>
        <v>500000.0</v>
      </c>
      <c r="E4" s="6">
        <f>IFERROR($E$5*D4/$D$5,0)</f>
        <v>80789.87341772152</v>
      </c>
      <c r="F4" s="6">
        <f>'Новосілки ЗВК 1ч'!I4</f>
        <v>493967.82999999996</v>
      </c>
      <c r="G4" s="6">
        <f>'Новосілки ЗВК 1ч'!I6</f>
        <v>844.503800000006</v>
      </c>
      <c r="H4" s="6">
        <f>'Новосілки ЗВК 1ч'!I9</f>
        <v>62300.0</v>
      </c>
      <c r="I4" s="14">
        <f>D4-E4-F4-G4-H4</f>
        <v>-137902.2072177215</v>
      </c>
      <c r="J4" s="8">
        <f>IFERROR(I4/D4,0)</f>
        <v>-0.275804414435443</v>
      </c>
    </row>
    <row r="5">
      <c r="A5" t="inlineStr" s="11">
        <is>
          <t/>
        </is>
      </c>
      <c r="B5" t="inlineStr" s="11">
        <is>
          <t>ВСЕГО</t>
        </is>
      </c>
      <c r="C5" t="inlineStr" s="11">
        <is>
          <t/>
        </is>
      </c>
      <c r="D5" s="10">
        <f>SUM(D3:D4)</f>
        <v>632000.0</v>
      </c>
      <c r="E5" s="10">
        <f>'Накладні'!I6</f>
        <v>102118.4</v>
      </c>
      <c r="F5" s="10">
        <f>SUM(F3:F4)</f>
        <v>617853.5399999999</v>
      </c>
      <c r="G5" s="10">
        <f>SUM(G3:G4)</f>
        <v>1980.504400000007</v>
      </c>
      <c r="H5" s="10">
        <f>SUM(H3:H4)</f>
        <v>110680.0</v>
      </c>
      <c r="I5" s="14">
        <f>SUM(I3:I4)</f>
        <v>-200632.44439999998</v>
      </c>
      <c r="J5" s="15">
        <f>IFERROR(I5/D5,0)</f>
        <v>-0.3174563993670886</v>
      </c>
    </row>
    <row r="7">
      <c r="B7" t="inlineStr" s="9">
        <is>
          <t>Коэффициент общих накладных</t>
        </is>
      </c>
      <c r="C7" s="15">
        <f>IFERROR(E5/D5,0)</f>
        <v>0.16157974683544302</v>
      </c>
      <c r="E7" t="inlineStr" s="9">
        <is>
          <t>Ставка конвертации</t>
        </is>
      </c>
      <c r="F7" s="15">
        <v>0.14</v>
      </c>
    </row>
  </sheetData>
  <autoFilter ref="A2:J4"/>
  <mergeCells count="1">
    <mergeCell ref="A1:J1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СтройФинанс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Проект ЗВК Новосілки</vt:lpstr>
      <vt:lpstr>Новосілки ЗВК 1ч</vt:lpstr>
      <vt:lpstr>Накладні</vt:lpstr>
      <vt:lpstr>Результат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СтройФинанс</dc:creator>
  <cp:lastModifiedBy>СтройФинанс</cp:lastModifiedBy>
  <dcterms:created xsi:type="dcterms:W3CDTF">2026-08-05T09:26:00Z</dcterms:created>
  <dcterms:modified xsi:type="dcterms:W3CDTF">2026-08-05T09:26:00Z</dcterms:modified>
</cp:coreProperties>
</file>